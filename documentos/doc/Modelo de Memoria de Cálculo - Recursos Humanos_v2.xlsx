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<sst xmlns="http://schemas.openxmlformats.org/spreadsheetml/2006/main" count="116" uniqueCount="41">
  <si>
    <t xml:space="preserve">Projeto Oásis</t>
  </si>
  <si>
    <t xml:space="preserve">MEMORIAL DE CÁLCULO – Despesas com RECURSOS HUMANOS</t>
  </si>
  <si>
    <t xml:space="preserve">OBS: Os dados utilizados abaixo são hipotéticos, cabendo adaptá-los conforme a realidade dos projetos</t>
  </si>
  <si>
    <t xml:space="preserve">Profissional¹:</t>
  </si>
  <si>
    <t xml:space="preserve">Engenheiro Ambiental</t>
  </si>
  <si>
    <t xml:space="preserve">Composição do Valor da Hora técnica</t>
  </si>
  <si>
    <t xml:space="preserve">Verba</t>
  </si>
  <si>
    <r>
      <rPr>
        <b val="true"/>
        <sz val="10"/>
        <color rgb="FF000000"/>
        <rFont val="Calibri"/>
        <family val="2"/>
        <charset val="1"/>
      </rPr>
      <t xml:space="preserve">Valor mensal </t>
    </r>
    <r>
      <rPr>
        <sz val="10"/>
        <color rgb="FF000000"/>
        <rFont val="Calibri"/>
        <family val="2"/>
        <charset val="1"/>
      </rPr>
      <t xml:space="preserve">(a)</t>
    </r>
  </si>
  <si>
    <r>
      <rPr>
        <b val="true"/>
        <sz val="10"/>
        <color rgb="FF000000"/>
        <rFont val="Calibri"/>
        <family val="2"/>
        <charset val="1"/>
      </rPr>
      <t xml:space="preserve">Carga horaria mensal </t>
    </r>
    <r>
      <rPr>
        <sz val="10"/>
        <color rgb="FF000000"/>
        <rFont val="Calibri"/>
        <family val="2"/>
        <charset val="1"/>
      </rPr>
      <t xml:space="preserve">(b)</t>
    </r>
  </si>
  <si>
    <r>
      <rPr>
        <b val="true"/>
        <sz val="10"/>
        <color rgb="FF000000"/>
        <rFont val="Calibri"/>
        <family val="2"/>
        <charset val="1"/>
      </rPr>
      <t xml:space="preserve">Valor/ hora </t>
    </r>
    <r>
      <rPr>
        <sz val="10"/>
        <color rgb="FF000000"/>
        <rFont val="Calibri"/>
        <family val="2"/>
        <charset val="1"/>
      </rPr>
      <t xml:space="preserve">(c)</t>
    </r>
    <r>
      <rPr>
        <b val="true"/>
        <sz val="10"/>
        <color rgb="FF000000"/>
        <rFont val="Calibri"/>
        <family val="2"/>
        <charset val="1"/>
      </rPr>
      <t xml:space="preserve"> = </t>
    </r>
    <r>
      <rPr>
        <sz val="10"/>
        <color rgb="FF000000"/>
        <rFont val="Calibri"/>
        <family val="2"/>
        <charset val="1"/>
      </rPr>
      <t xml:space="preserve">(a/b)</t>
    </r>
  </si>
  <si>
    <t xml:space="preserve">Remuneração básica</t>
  </si>
  <si>
    <t xml:space="preserve">PIS (1%)</t>
  </si>
  <si>
    <t xml:space="preserve">FGTS (8%)</t>
  </si>
  <si>
    <t xml:space="preserve">13º salário proporcional (8,33%)</t>
  </si>
  <si>
    <t xml:space="preserve">1/3 de férias proporcional (2,78%)</t>
  </si>
  <si>
    <t xml:space="preserve">TOTAL (SALÁRIO + ENCARGOS):</t>
  </si>
  <si>
    <t xml:space="preserve">ETAPA 1 (1-6 meses)</t>
  </si>
  <si>
    <t xml:space="preserve">Atividades desempenhadas</t>
  </si>
  <si>
    <r>
      <rPr>
        <b val="true"/>
        <sz val="10"/>
        <color rgb="FF000000"/>
        <rFont val="Calibri"/>
        <family val="2"/>
        <charset val="1"/>
      </rPr>
      <t xml:space="preserve">Horas/mês</t>
    </r>
    <r>
      <rPr>
        <sz val="10"/>
        <color rgb="FF000000"/>
        <rFont val="Calibri"/>
        <family val="2"/>
        <charset val="1"/>
      </rPr>
      <t xml:space="preserve"> (d)</t>
    </r>
  </si>
  <si>
    <r>
      <rPr>
        <b val="true"/>
        <sz val="10"/>
        <color rgb="FF000000"/>
        <rFont val="Calibri"/>
        <family val="2"/>
        <charset val="1"/>
      </rPr>
      <t xml:space="preserve">Meses </t>
    </r>
    <r>
      <rPr>
        <sz val="10"/>
        <color rgb="FF000000"/>
        <rFont val="Calibri"/>
        <family val="2"/>
        <charset val="1"/>
      </rPr>
      <t xml:space="preserve">(e)</t>
    </r>
  </si>
  <si>
    <r>
      <rPr>
        <b val="true"/>
        <sz val="11"/>
        <color rgb="FF000000"/>
        <rFont val="Calibri"/>
        <family val="2"/>
        <charset val="1"/>
      </rPr>
      <t xml:space="preserve">Subtotal</t>
    </r>
    <r>
      <rPr>
        <b val="true"/>
        <sz val="10"/>
        <color rgb="FF000000"/>
        <rFont val="Calibri"/>
        <family val="2"/>
        <charset val="1"/>
      </rPr>
      <t xml:space="preserve"> = </t>
    </r>
    <r>
      <rPr>
        <sz val="10"/>
        <color rgb="FF000000"/>
        <rFont val="Calibri"/>
        <family val="2"/>
        <charset val="1"/>
      </rPr>
      <t xml:space="preserve">(c x d x e)</t>
    </r>
  </si>
  <si>
    <t xml:space="preserve">Realizar o diagnóstico e levantamento ambiental das áreas; Elaborar e submeter o projeto de licenciamento ambiental e Apoiar na contratação de equipe técnica e formalização de parcerias. </t>
  </si>
  <si>
    <t xml:space="preserve">DESPESA TOTAL com</t>
  </si>
  <si>
    <t xml:space="preserve">na ETAPA 1</t>
  </si>
  <si>
    <t xml:space="preserve">ETAPA 2 (7-24 meses)</t>
  </si>
  <si>
    <t xml:space="preserve">Supervisionar as obras para conformidade com as normas ambientais; Gerenciar o preparo das áreas para reflorestamento; Monitorar as instalações dos sistemas de dessalinização.</t>
  </si>
  <si>
    <t xml:space="preserve">na ETAPA 2</t>
  </si>
  <si>
    <t xml:space="preserve">ETAPA 3 (12-30)</t>
  </si>
  <si>
    <t xml:space="preserve">Coordenar os programas de educação ambiental nas comunidades; Realizar o monitoramento contínuo das condições ambientais; Elaborar relatórios técnicos ambientais e de progresso do projeto.</t>
  </si>
  <si>
    <t xml:space="preserve">na ETAPA 3</t>
  </si>
  <si>
    <t xml:space="preserve">1 - Informar a função do profissional</t>
  </si>
  <si>
    <t xml:space="preserve">Engenheiro Agrônomo</t>
  </si>
  <si>
    <t xml:space="preserve">ETAPA 1</t>
  </si>
  <si>
    <t xml:space="preserve">Definir as espécies nativas e agrícolas para o consórcio agroflorestal; Elaborar plano de manejo agroflorestal sustentável; Planejar a produção inicial de mudas no viveiro.</t>
  </si>
  <si>
    <t xml:space="preserve">ETAPA 2</t>
  </si>
  <si>
    <t xml:space="preserve">Supervisionar a construção dos galpões de cultivo e sistemas de irrigação; Coordenar a produção e o cuidado inicial das mudas nativas; Acompanhar o preparo do solo e as técnicas de combate à erosão. </t>
  </si>
  <si>
    <t xml:space="preserve">ETAPA 3</t>
  </si>
  <si>
    <t xml:space="preserve">Técnico de campo (Estagiários)</t>
  </si>
  <si>
    <t xml:space="preserve">Auxiliar no levantamento de campo e pesquisa bibliográfica; Apoiar a equipe na organização de documentos e na logística inicial.</t>
  </si>
  <si>
    <t xml:space="preserve">Ajudar na produção e manutenção das mudas; Coletar dados para o monitoramento de solo e água; Prestar apoio administrativo nas obras de infraestrutura.</t>
  </si>
  <si>
    <t xml:space="preserve">Apoiar diretamente as atividades de plantio e manutenção das áreas; Auxiliar na organização e realização dos cursos e oficinas de capacitação; Coletar e organizar dados para os relatórios de monitoramento e avaliação.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</si>
</sst>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;[RED]&quot;-R$ &quot;#,##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8" activeCellId="0" sqref="A68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28.2"/>
  </cols>
  <sheetData>
    <row r="1" customFormat="false" ht="22.05" hidden="false" customHeight="false" outlineLevel="0" collapsed="false">
      <c r="A1" s="1" t="s">
        <v>0</v>
      </c>
      <c r="B1" s="2"/>
      <c r="C1" s="2"/>
      <c r="D1" s="2"/>
    </row>
    <row r="2" customFormat="false" ht="17.35" hidden="false" customHeight="false" outlineLevel="0" collapsed="false">
      <c r="A2" s="3" t="s">
        <v>1</v>
      </c>
      <c r="B2" s="2"/>
      <c r="C2" s="2"/>
      <c r="D2" s="2"/>
    </row>
    <row r="3" customFormat="false" ht="13.8" hidden="false" customHeight="false" outlineLevel="0" collapsed="false">
      <c r="A3" s="4" t="s">
        <v>2</v>
      </c>
      <c r="B3" s="5"/>
      <c r="C3" s="5"/>
      <c r="D3" s="5"/>
    </row>
    <row r="4" customFormat="false" ht="22.05" hidden="false" customHeight="false" outlineLevel="0" collapsed="false">
      <c r="A4" s="6" t="s">
        <v>3</v>
      </c>
      <c r="B4" s="7" t="s">
        <v>4</v>
      </c>
      <c r="C4" s="7"/>
      <c r="D4" s="7"/>
    </row>
    <row r="5" customFormat="false" ht="13.8" hidden="false" customHeight="true" outlineLevel="0" collapsed="false">
      <c r="A5" s="8" t="s">
        <v>5</v>
      </c>
      <c r="B5" s="8"/>
      <c r="C5" s="8"/>
      <c r="D5" s="8"/>
    </row>
    <row r="6" customFormat="false" ht="20.85" hidden="false" customHeight="false" outlineLevel="0" collapsed="false">
      <c r="A6" s="9" t="s">
        <v>6</v>
      </c>
      <c r="B6" s="9" t="s">
        <v>7</v>
      </c>
      <c r="C6" s="9" t="s">
        <v>8</v>
      </c>
      <c r="D6" s="9" t="s">
        <v>9</v>
      </c>
    </row>
    <row r="7" customFormat="false" ht="20.85" hidden="false" customHeight="false" outlineLevel="0" collapsed="false">
      <c r="A7" s="10" t="s">
        <v>10</v>
      </c>
      <c r="B7" s="11" t="n">
        <v>6500</v>
      </c>
      <c r="C7" s="12" t="n">
        <v>120</v>
      </c>
      <c r="D7" s="11" t="n">
        <f aca="false">B7/$C$7</f>
        <v>54.1666666666667</v>
      </c>
    </row>
    <row r="8" customFormat="false" ht="13.8" hidden="false" customHeight="false" outlineLevel="0" collapsed="false">
      <c r="A8" s="10" t="s">
        <v>11</v>
      </c>
      <c r="B8" s="11" t="n">
        <f aca="false">B7*1%</f>
        <v>65</v>
      </c>
      <c r="C8" s="12"/>
      <c r="D8" s="11" t="n">
        <f aca="false">B8/$C$7</f>
        <v>0.541666666666667</v>
      </c>
    </row>
    <row r="9" customFormat="false" ht="13.8" hidden="false" customHeight="false" outlineLevel="0" collapsed="false">
      <c r="A9" s="10" t="s">
        <v>12</v>
      </c>
      <c r="B9" s="11" t="n">
        <f aca="false">B7*8%</f>
        <v>520</v>
      </c>
      <c r="C9" s="12"/>
      <c r="D9" s="11" t="n">
        <f aca="false">B9/$C$7</f>
        <v>4.33333333333333</v>
      </c>
    </row>
    <row r="10" customFormat="false" ht="30.55" hidden="false" customHeight="false" outlineLevel="0" collapsed="false">
      <c r="A10" s="10" t="s">
        <v>13</v>
      </c>
      <c r="B10" s="11" t="n">
        <f aca="false">B7*8.33%</f>
        <v>541.45</v>
      </c>
      <c r="C10" s="12"/>
      <c r="D10" s="11" t="n">
        <f aca="false">B10/$C$7</f>
        <v>4.51208333333333</v>
      </c>
    </row>
    <row r="11" customFormat="false" ht="30.55" hidden="false" customHeight="false" outlineLevel="0" collapsed="false">
      <c r="A11" s="10" t="s">
        <v>14</v>
      </c>
      <c r="B11" s="11" t="n">
        <f aca="false">B7*2.78%</f>
        <v>180.7</v>
      </c>
      <c r="C11" s="12"/>
      <c r="D11" s="11" t="n">
        <f aca="false">B11/$C$7</f>
        <v>1.50583333333333</v>
      </c>
    </row>
    <row r="12" customFormat="false" ht="35.05" hidden="false" customHeight="false" outlineLevel="0" collapsed="false">
      <c r="A12" s="13" t="s">
        <v>15</v>
      </c>
      <c r="B12" s="14" t="n">
        <f aca="false">SUM(B7:B11)</f>
        <v>7807.15</v>
      </c>
      <c r="C12" s="12"/>
      <c r="D12" s="14" t="n">
        <f aca="false">SUM(D7:D11)</f>
        <v>65.0595833333333</v>
      </c>
    </row>
    <row r="13" customFormat="false" ht="13.8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15" t="s">
        <v>16</v>
      </c>
      <c r="B14" s="2"/>
      <c r="C14" s="2"/>
      <c r="D14" s="2"/>
    </row>
    <row r="15" customFormat="false" ht="35.05" hidden="false" customHeight="false" outlineLevel="0" collapsed="false">
      <c r="A15" s="16" t="s">
        <v>17</v>
      </c>
      <c r="B15" s="9" t="s">
        <v>18</v>
      </c>
      <c r="C15" s="9" t="s">
        <v>19</v>
      </c>
      <c r="D15" s="8" t="s">
        <v>20</v>
      </c>
    </row>
    <row r="16" customFormat="false" ht="94" hidden="false" customHeight="true" outlineLevel="0" collapsed="false">
      <c r="A16" s="17" t="s">
        <v>21</v>
      </c>
      <c r="B16" s="12" t="n">
        <v>120</v>
      </c>
      <c r="C16" s="18" t="n">
        <v>6</v>
      </c>
      <c r="D16" s="11" t="n">
        <f aca="false">D12*B16*C16</f>
        <v>46842.9</v>
      </c>
    </row>
    <row r="17" customFormat="false" ht="13.8" hidden="false" customHeight="false" outlineLevel="0" collapsed="false">
      <c r="A17" s="19" t="s">
        <v>22</v>
      </c>
      <c r="B17" s="20" t="str">
        <f aca="false">B4</f>
        <v>Engenheiro Ambiental</v>
      </c>
      <c r="C17" s="21" t="s">
        <v>23</v>
      </c>
      <c r="D17" s="14" t="n">
        <f aca="false">SUM(D16:D16)</f>
        <v>46842.9</v>
      </c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15" t="s">
        <v>24</v>
      </c>
      <c r="B19" s="2"/>
      <c r="C19" s="2"/>
      <c r="D19" s="2"/>
    </row>
    <row r="20" customFormat="false" ht="35.05" hidden="false" customHeight="false" outlineLevel="0" collapsed="false">
      <c r="A20" s="16" t="s">
        <v>17</v>
      </c>
      <c r="B20" s="9" t="s">
        <v>18</v>
      </c>
      <c r="C20" s="9" t="s">
        <v>19</v>
      </c>
      <c r="D20" s="8" t="s">
        <v>20</v>
      </c>
    </row>
    <row r="21" customFormat="false" ht="59.7" hidden="false" customHeight="false" outlineLevel="0" collapsed="false">
      <c r="A21" s="17" t="s">
        <v>25</v>
      </c>
      <c r="B21" s="12" t="n">
        <v>120</v>
      </c>
      <c r="C21" s="18" t="n">
        <v>18</v>
      </c>
      <c r="D21" s="11" t="n">
        <f aca="false">D12*B21*C21</f>
        <v>140528.7</v>
      </c>
    </row>
    <row r="22" customFormat="false" ht="23.85" hidden="false" customHeight="false" outlineLevel="0" collapsed="false">
      <c r="A22" s="19" t="s">
        <v>22</v>
      </c>
      <c r="B22" s="20" t="str">
        <f aca="false">B4</f>
        <v>Engenheiro Ambiental</v>
      </c>
      <c r="C22" s="21" t="s">
        <v>26</v>
      </c>
      <c r="D22" s="14" t="n">
        <f aca="false">SUM(D21:D21)</f>
        <v>140528.7</v>
      </c>
    </row>
    <row r="23" customFormat="false" ht="23.85" hidden="false" customHeight="false" outlineLevel="0" collapsed="false">
      <c r="A23" s="19"/>
      <c r="B23" s="20"/>
      <c r="C23" s="21"/>
      <c r="D23" s="14"/>
    </row>
    <row r="24" customFormat="false" ht="15" hidden="false" customHeight="false" outlineLevel="0" collapsed="false">
      <c r="A24" s="15" t="s">
        <v>27</v>
      </c>
      <c r="B24" s="2"/>
      <c r="C24" s="2"/>
      <c r="D24" s="2"/>
    </row>
    <row r="25" customFormat="false" ht="13.8" hidden="false" customHeight="false" outlineLevel="0" collapsed="false">
      <c r="A25" s="16" t="s">
        <v>17</v>
      </c>
      <c r="B25" s="9" t="s">
        <v>18</v>
      </c>
      <c r="C25" s="9" t="s">
        <v>19</v>
      </c>
      <c r="D25" s="8" t="s">
        <v>20</v>
      </c>
    </row>
    <row r="26" customFormat="false" ht="79.85" hidden="false" customHeight="true" outlineLevel="0" collapsed="false">
      <c r="A26" s="17" t="s">
        <v>28</v>
      </c>
      <c r="B26" s="12" t="n">
        <v>80</v>
      </c>
      <c r="C26" s="18" t="n">
        <v>19</v>
      </c>
      <c r="D26" s="11" t="n">
        <f aca="false">D17*B26*C26</f>
        <v>71201208</v>
      </c>
    </row>
    <row r="27" customFormat="false" ht="13.8" hidden="false" customHeight="false" outlineLevel="0" collapsed="false">
      <c r="A27" s="19" t="s">
        <v>22</v>
      </c>
      <c r="B27" s="20" t="n">
        <f aca="false">B9</f>
        <v>520</v>
      </c>
      <c r="C27" s="21" t="s">
        <v>29</v>
      </c>
      <c r="D27" s="14" t="n">
        <f aca="false">SUM(D26:D26)</f>
        <v>71201208</v>
      </c>
    </row>
    <row r="28" customFormat="false" ht="13.8" hidden="false" customHeight="false" outlineLevel="0" collapsed="false">
      <c r="A28" s="2" t="s">
        <v>30</v>
      </c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22.05" hidden="false" customHeight="false" outlineLevel="0" collapsed="false">
      <c r="A30" s="6" t="s">
        <v>3</v>
      </c>
      <c r="B30" s="7" t="s">
        <v>31</v>
      </c>
      <c r="C30" s="7"/>
      <c r="D30" s="7"/>
    </row>
    <row r="31" customFormat="false" ht="13.8" hidden="false" customHeight="true" outlineLevel="0" collapsed="false">
      <c r="A31" s="8" t="s">
        <v>5</v>
      </c>
      <c r="B31" s="8"/>
      <c r="C31" s="8"/>
      <c r="D31" s="8"/>
    </row>
    <row r="32" customFormat="false" ht="20.85" hidden="false" customHeight="false" outlineLevel="0" collapsed="false">
      <c r="A32" s="9" t="s">
        <v>6</v>
      </c>
      <c r="B32" s="9" t="s">
        <v>7</v>
      </c>
      <c r="C32" s="9" t="s">
        <v>8</v>
      </c>
      <c r="D32" s="9" t="s">
        <v>9</v>
      </c>
    </row>
    <row r="33" customFormat="false" ht="20.85" hidden="false" customHeight="false" outlineLevel="0" collapsed="false">
      <c r="A33" s="10" t="s">
        <v>10</v>
      </c>
      <c r="B33" s="11" t="n">
        <v>6000</v>
      </c>
      <c r="C33" s="12" t="n">
        <v>120</v>
      </c>
      <c r="D33" s="11" t="n">
        <f aca="false">B33/$C$7</f>
        <v>50</v>
      </c>
    </row>
    <row r="34" customFormat="false" ht="13.8" hidden="false" customHeight="false" outlineLevel="0" collapsed="false">
      <c r="A34" s="10" t="s">
        <v>11</v>
      </c>
      <c r="B34" s="11" t="n">
        <f aca="false">B33*1%</f>
        <v>60</v>
      </c>
      <c r="C34" s="12"/>
      <c r="D34" s="11" t="n">
        <f aca="false">B34/$C$7</f>
        <v>0.5</v>
      </c>
    </row>
    <row r="35" customFormat="false" ht="13.8" hidden="false" customHeight="false" outlineLevel="0" collapsed="false">
      <c r="A35" s="10" t="s">
        <v>12</v>
      </c>
      <c r="B35" s="11" t="n">
        <f aca="false">B33*8%</f>
        <v>480</v>
      </c>
      <c r="C35" s="12"/>
      <c r="D35" s="11" t="n">
        <f aca="false">B35/$C$7</f>
        <v>4</v>
      </c>
    </row>
    <row r="36" customFormat="false" ht="30.55" hidden="false" customHeight="false" outlineLevel="0" collapsed="false">
      <c r="A36" s="10" t="s">
        <v>13</v>
      </c>
      <c r="B36" s="11" t="n">
        <f aca="false">B33*8.33%</f>
        <v>499.8</v>
      </c>
      <c r="C36" s="12"/>
      <c r="D36" s="11" t="n">
        <f aca="false">B36/$C$7</f>
        <v>4.165</v>
      </c>
    </row>
    <row r="37" customFormat="false" ht="30.55" hidden="false" customHeight="false" outlineLevel="0" collapsed="false">
      <c r="A37" s="10" t="s">
        <v>14</v>
      </c>
      <c r="B37" s="11" t="n">
        <f aca="false">B33*2.78%</f>
        <v>166.8</v>
      </c>
      <c r="C37" s="12"/>
      <c r="D37" s="11" t="n">
        <f aca="false">B37/$C$7</f>
        <v>1.39</v>
      </c>
    </row>
    <row r="38" customFormat="false" ht="35.05" hidden="false" customHeight="false" outlineLevel="0" collapsed="false">
      <c r="A38" s="13" t="s">
        <v>15</v>
      </c>
      <c r="B38" s="14" t="n">
        <f aca="false">SUM(B33:B37)</f>
        <v>7206.6</v>
      </c>
      <c r="C38" s="12"/>
      <c r="D38" s="14" t="n">
        <f aca="false">SUM(D33:D37)</f>
        <v>60.055</v>
      </c>
    </row>
    <row r="39" customFormat="false" ht="13.8" hidden="false" customHeight="false" outlineLevel="0" collapsed="false">
      <c r="A39" s="2"/>
      <c r="B39" s="2"/>
      <c r="C39" s="2"/>
      <c r="D39" s="2"/>
    </row>
    <row r="40" customFormat="false" ht="15" hidden="false" customHeight="false" outlineLevel="0" collapsed="false">
      <c r="A40" s="15" t="s">
        <v>32</v>
      </c>
      <c r="B40" s="2"/>
      <c r="C40" s="2"/>
      <c r="D40" s="2"/>
    </row>
    <row r="41" customFormat="false" ht="35.05" hidden="false" customHeight="false" outlineLevel="0" collapsed="false">
      <c r="A41" s="16" t="s">
        <v>17</v>
      </c>
      <c r="B41" s="9" t="s">
        <v>18</v>
      </c>
      <c r="C41" s="9" t="s">
        <v>19</v>
      </c>
      <c r="D41" s="8" t="s">
        <v>20</v>
      </c>
    </row>
    <row r="42" customFormat="false" ht="79.1" hidden="false" customHeight="false" outlineLevel="0" collapsed="false">
      <c r="A42" s="17" t="s">
        <v>33</v>
      </c>
      <c r="B42" s="12" t="n">
        <v>120</v>
      </c>
      <c r="C42" s="18" t="n">
        <v>6</v>
      </c>
      <c r="D42" s="11" t="n">
        <f aca="false">D38*B42*C42</f>
        <v>43239.6</v>
      </c>
    </row>
    <row r="43" customFormat="false" ht="35.05" hidden="false" customHeight="false" outlineLevel="0" collapsed="false">
      <c r="A43" s="19" t="s">
        <v>22</v>
      </c>
      <c r="B43" s="20" t="str">
        <f aca="false">B30</f>
        <v>Engenheiro Agrônomo</v>
      </c>
      <c r="C43" s="21" t="s">
        <v>23</v>
      </c>
      <c r="D43" s="14" t="n">
        <f aca="false">SUM(D42:D42)</f>
        <v>43239.6</v>
      </c>
    </row>
    <row r="44" customFormat="false" ht="13.8" hidden="false" customHeight="false" outlineLevel="0" collapsed="false">
      <c r="A44" s="2"/>
      <c r="B44" s="2"/>
      <c r="C44" s="2"/>
      <c r="D44" s="2"/>
    </row>
    <row r="45" customFormat="false" ht="15" hidden="false" customHeight="false" outlineLevel="0" collapsed="false">
      <c r="A45" s="15" t="s">
        <v>34</v>
      </c>
      <c r="B45" s="2"/>
      <c r="C45" s="2"/>
      <c r="D45" s="2"/>
    </row>
    <row r="46" customFormat="false" ht="35.05" hidden="false" customHeight="false" outlineLevel="0" collapsed="false">
      <c r="A46" s="16" t="s">
        <v>17</v>
      </c>
      <c r="B46" s="9" t="s">
        <v>18</v>
      </c>
      <c r="C46" s="9" t="s">
        <v>19</v>
      </c>
      <c r="D46" s="8" t="s">
        <v>20</v>
      </c>
    </row>
    <row r="47" customFormat="false" ht="85.8" hidden="false" customHeight="true" outlineLevel="0" collapsed="false">
      <c r="A47" s="17" t="s">
        <v>35</v>
      </c>
      <c r="B47" s="12" t="n">
        <v>160</v>
      </c>
      <c r="C47" s="18" t="n">
        <v>18</v>
      </c>
      <c r="D47" s="11" t="n">
        <f aca="false">D38*B47*C47</f>
        <v>172958.4</v>
      </c>
    </row>
    <row r="48" customFormat="false" ht="35.05" hidden="false" customHeight="false" outlineLevel="0" collapsed="false">
      <c r="A48" s="19" t="s">
        <v>22</v>
      </c>
      <c r="B48" s="20" t="str">
        <f aca="false">B30</f>
        <v>Engenheiro Agrônomo</v>
      </c>
      <c r="C48" s="21" t="s">
        <v>26</v>
      </c>
      <c r="D48" s="14" t="n">
        <f aca="false">SUM(D47:D47)</f>
        <v>172958.4</v>
      </c>
    </row>
    <row r="49" customFormat="false" ht="15" hidden="false" customHeight="false" outlineLevel="0" collapsed="false">
      <c r="A49" s="15" t="s">
        <v>36</v>
      </c>
      <c r="B49" s="2"/>
      <c r="C49" s="2"/>
      <c r="D49" s="2"/>
    </row>
    <row r="50" customFormat="false" ht="13.8" hidden="false" customHeight="false" outlineLevel="0" collapsed="false">
      <c r="A50" s="16" t="s">
        <v>17</v>
      </c>
      <c r="B50" s="9" t="s">
        <v>18</v>
      </c>
      <c r="C50" s="9" t="s">
        <v>19</v>
      </c>
      <c r="D50" s="8" t="s">
        <v>20</v>
      </c>
    </row>
    <row r="51" customFormat="false" ht="59.7" hidden="false" customHeight="false" outlineLevel="0" collapsed="false">
      <c r="A51" s="17" t="s">
        <v>35</v>
      </c>
      <c r="B51" s="12" t="n">
        <v>120</v>
      </c>
      <c r="C51" s="18" t="n">
        <v>19</v>
      </c>
      <c r="D51" s="11" t="n">
        <f aca="false">D42*B51*C51</f>
        <v>98586288</v>
      </c>
    </row>
    <row r="52" customFormat="false" ht="13.8" hidden="false" customHeight="false" outlineLevel="0" collapsed="false">
      <c r="A52" s="19" t="s">
        <v>22</v>
      </c>
      <c r="B52" s="20" t="n">
        <f aca="false">B34</f>
        <v>60</v>
      </c>
      <c r="C52" s="21" t="s">
        <v>29</v>
      </c>
      <c r="D52" s="14" t="n">
        <f aca="false">SUM(D51:D51)</f>
        <v>98586288</v>
      </c>
    </row>
    <row r="53" customFormat="false" ht="13.8" hidden="false" customHeight="false" outlineLevel="0" collapsed="false">
      <c r="A53" s="2" t="s">
        <v>30</v>
      </c>
      <c r="B53" s="2"/>
      <c r="C53" s="2"/>
      <c r="D53" s="2"/>
    </row>
    <row r="54" customFormat="false" ht="13.8" hidden="false" customHeight="false" outlineLevel="0" collapsed="false">
      <c r="A54" s="2"/>
      <c r="B54" s="2"/>
      <c r="C54" s="2"/>
      <c r="D54" s="2"/>
    </row>
    <row r="55" customFormat="false" ht="22.05" hidden="false" customHeight="false" outlineLevel="0" collapsed="false">
      <c r="A55" s="6" t="s">
        <v>3</v>
      </c>
      <c r="B55" s="7" t="s">
        <v>37</v>
      </c>
      <c r="C55" s="7"/>
      <c r="D55" s="7"/>
    </row>
    <row r="56" customFormat="false" ht="13.8" hidden="false" customHeight="true" outlineLevel="0" collapsed="false">
      <c r="A56" s="8" t="s">
        <v>5</v>
      </c>
      <c r="B56" s="8"/>
      <c r="C56" s="8"/>
      <c r="D56" s="8"/>
    </row>
    <row r="57" customFormat="false" ht="20.85" hidden="false" customHeight="false" outlineLevel="0" collapsed="false">
      <c r="A57" s="9" t="s">
        <v>6</v>
      </c>
      <c r="B57" s="9" t="s">
        <v>7</v>
      </c>
      <c r="C57" s="9" t="s">
        <v>8</v>
      </c>
      <c r="D57" s="9" t="s">
        <v>9</v>
      </c>
    </row>
    <row r="58" customFormat="false" ht="20.85" hidden="false" customHeight="false" outlineLevel="0" collapsed="false">
      <c r="A58" s="10" t="s">
        <v>10</v>
      </c>
      <c r="B58" s="11" t="n">
        <v>1500</v>
      </c>
      <c r="C58" s="12" t="n">
        <v>220</v>
      </c>
      <c r="D58" s="11" t="n">
        <f aca="false">B58/$C$7</f>
        <v>12.5</v>
      </c>
    </row>
    <row r="59" customFormat="false" ht="13.8" hidden="false" customHeight="false" outlineLevel="0" collapsed="false">
      <c r="A59" s="10" t="s">
        <v>11</v>
      </c>
      <c r="B59" s="11" t="n">
        <f aca="false">B58*1%</f>
        <v>15</v>
      </c>
      <c r="C59" s="12"/>
      <c r="D59" s="11" t="n">
        <f aca="false">B59/$C$7</f>
        <v>0.125</v>
      </c>
    </row>
    <row r="60" customFormat="false" ht="13.8" hidden="false" customHeight="false" outlineLevel="0" collapsed="false">
      <c r="A60" s="10" t="s">
        <v>12</v>
      </c>
      <c r="B60" s="11" t="n">
        <f aca="false">B58*8%</f>
        <v>120</v>
      </c>
      <c r="C60" s="12"/>
      <c r="D60" s="11" t="n">
        <f aca="false">B60/$C$7</f>
        <v>1</v>
      </c>
    </row>
    <row r="61" customFormat="false" ht="30.55" hidden="false" customHeight="false" outlineLevel="0" collapsed="false">
      <c r="A61" s="10" t="s">
        <v>13</v>
      </c>
      <c r="B61" s="11" t="n">
        <f aca="false">B58*8.33%</f>
        <v>124.95</v>
      </c>
      <c r="C61" s="12"/>
      <c r="D61" s="11" t="n">
        <f aca="false">B61/$C$7</f>
        <v>1.04125</v>
      </c>
    </row>
    <row r="62" customFormat="false" ht="30.55" hidden="false" customHeight="false" outlineLevel="0" collapsed="false">
      <c r="A62" s="10" t="s">
        <v>14</v>
      </c>
      <c r="B62" s="11" t="n">
        <f aca="false">B58*2.78%</f>
        <v>41.7</v>
      </c>
      <c r="C62" s="12"/>
      <c r="D62" s="11" t="n">
        <f aca="false">B62/$C$7</f>
        <v>0.3475</v>
      </c>
    </row>
    <row r="63" customFormat="false" ht="35.05" hidden="false" customHeight="false" outlineLevel="0" collapsed="false">
      <c r="A63" s="13" t="s">
        <v>15</v>
      </c>
      <c r="B63" s="14" t="n">
        <f aca="false">SUM(B58:B62)</f>
        <v>1801.65</v>
      </c>
      <c r="C63" s="12"/>
      <c r="D63" s="14" t="n">
        <f aca="false">SUM(D58:D62)</f>
        <v>15.01375</v>
      </c>
    </row>
    <row r="64" customFormat="false" ht="13.8" hidden="false" customHeight="false" outlineLevel="0" collapsed="false">
      <c r="A64" s="2"/>
      <c r="B64" s="2"/>
      <c r="C64" s="2"/>
      <c r="D64" s="2"/>
    </row>
    <row r="65" customFormat="false" ht="15" hidden="false" customHeight="false" outlineLevel="0" collapsed="false">
      <c r="A65" s="15" t="s">
        <v>32</v>
      </c>
      <c r="B65" s="2"/>
      <c r="C65" s="2"/>
      <c r="D65" s="2"/>
    </row>
    <row r="66" customFormat="false" ht="35.05" hidden="false" customHeight="false" outlineLevel="0" collapsed="false">
      <c r="A66" s="16" t="s">
        <v>17</v>
      </c>
      <c r="B66" s="9" t="s">
        <v>18</v>
      </c>
      <c r="C66" s="9" t="s">
        <v>19</v>
      </c>
      <c r="D66" s="8" t="s">
        <v>20</v>
      </c>
    </row>
    <row r="67" customFormat="false" ht="84.3" hidden="false" customHeight="true" outlineLevel="0" collapsed="false">
      <c r="A67" s="17" t="s">
        <v>38</v>
      </c>
      <c r="B67" s="12" t="n">
        <v>80</v>
      </c>
      <c r="C67" s="18" t="n">
        <v>36</v>
      </c>
      <c r="D67" s="11" t="n">
        <f aca="false">D63*B67*C67</f>
        <v>43239.6</v>
      </c>
    </row>
    <row r="68" customFormat="false" ht="23.85" hidden="false" customHeight="false" outlineLevel="0" collapsed="false">
      <c r="A68" s="19" t="s">
        <v>22</v>
      </c>
      <c r="B68" s="20" t="str">
        <f aca="false">B55</f>
        <v>Técnico de campo (Estagiários)</v>
      </c>
      <c r="C68" s="21" t="s">
        <v>23</v>
      </c>
      <c r="D68" s="14" t="n">
        <f aca="false">SUM(D67:D67)</f>
        <v>43239.6</v>
      </c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5" hidden="false" customHeight="false" outlineLevel="0" collapsed="false">
      <c r="A70" s="15" t="s">
        <v>34</v>
      </c>
      <c r="B70" s="2"/>
      <c r="C70" s="2"/>
      <c r="D70" s="2"/>
    </row>
    <row r="71" customFormat="false" ht="35.05" hidden="false" customHeight="false" outlineLevel="0" collapsed="false">
      <c r="A71" s="16" t="s">
        <v>17</v>
      </c>
      <c r="B71" s="9" t="s">
        <v>18</v>
      </c>
      <c r="C71" s="9" t="s">
        <v>19</v>
      </c>
      <c r="D71" s="8" t="s">
        <v>20</v>
      </c>
    </row>
    <row r="72" customFormat="false" ht="88.8" hidden="false" customHeight="false" outlineLevel="0" collapsed="false">
      <c r="A72" s="17" t="s">
        <v>39</v>
      </c>
      <c r="B72" s="12" t="n">
        <v>80</v>
      </c>
      <c r="C72" s="18" t="n">
        <v>36</v>
      </c>
      <c r="D72" s="11" t="n">
        <f aca="false">D63*B72*C72</f>
        <v>43239.6</v>
      </c>
    </row>
    <row r="73" customFormat="false" ht="23.85" hidden="false" customHeight="false" outlineLevel="0" collapsed="false">
      <c r="A73" s="19" t="s">
        <v>22</v>
      </c>
      <c r="B73" s="20" t="str">
        <f aca="false">B55</f>
        <v>Técnico de campo (Estagiários)</v>
      </c>
      <c r="C73" s="21" t="s">
        <v>26</v>
      </c>
      <c r="D73" s="14" t="n">
        <f aca="false">SUM(D72:D72)</f>
        <v>43239.6</v>
      </c>
    </row>
    <row r="74" customFormat="false" ht="13.8" hidden="false" customHeight="false" outlineLevel="0" collapsed="false">
      <c r="A74" s="22"/>
      <c r="B74" s="23"/>
      <c r="C74" s="24"/>
      <c r="D74" s="25"/>
    </row>
    <row r="75" customFormat="false" ht="15" hidden="false" customHeight="false" outlineLevel="0" collapsed="false">
      <c r="A75" s="15" t="s">
        <v>36</v>
      </c>
      <c r="B75" s="2"/>
      <c r="C75" s="2"/>
      <c r="D75" s="2"/>
    </row>
    <row r="76" customFormat="false" ht="13.8" hidden="false" customHeight="false" outlineLevel="0" collapsed="false">
      <c r="A76" s="16" t="s">
        <v>17</v>
      </c>
      <c r="B76" s="9" t="s">
        <v>18</v>
      </c>
      <c r="C76" s="9" t="s">
        <v>19</v>
      </c>
      <c r="D76" s="8" t="s">
        <v>20</v>
      </c>
    </row>
    <row r="77" customFormat="false" ht="86.55" hidden="false" customHeight="true" outlineLevel="0" collapsed="false">
      <c r="A77" s="17" t="s">
        <v>40</v>
      </c>
      <c r="B77" s="12" t="n">
        <v>80</v>
      </c>
      <c r="C77" s="18" t="n">
        <v>36</v>
      </c>
      <c r="D77" s="11" t="n">
        <f aca="false">D68*B77*C77</f>
        <v>124530048</v>
      </c>
    </row>
    <row r="78" customFormat="false" ht="13.8" hidden="false" customHeight="false" outlineLevel="0" collapsed="false">
      <c r="A78" s="19" t="s">
        <v>22</v>
      </c>
      <c r="B78" s="20" t="n">
        <f aca="false">B60</f>
        <v>120</v>
      </c>
      <c r="C78" s="21" t="s">
        <v>29</v>
      </c>
      <c r="D78" s="14" t="n">
        <f aca="false">SUM(D77:D77)</f>
        <v>124530048</v>
      </c>
    </row>
  </sheetData>
  <mergeCells count="9">
    <mergeCell ref="B4:D4"/>
    <mergeCell ref="A5:D5"/>
    <mergeCell ref="C7:C12"/>
    <mergeCell ref="B30:D30"/>
    <mergeCell ref="A31:D31"/>
    <mergeCell ref="C33:C38"/>
    <mergeCell ref="B55:D55"/>
    <mergeCell ref="A56:D56"/>
    <mergeCell ref="C58:C6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  <Company>Banco do Nordeste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2023-07-19T12:50:15Z</dcterms:created>
  <dc:creator>MARCELO de Oliveira Sindeaux F110930</dc:creator>
  <dc:description/>
  <dc:language>pt-BR</dc:language>
  <cp:lastModifiedBy/>
  <cp:lastPrinted>2024-08-08T21:32:13Z</cp:lastPrinted>
  <dcterms:modified xsi:type="dcterms:W3CDTF">2025-08-11T16:04:55Z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